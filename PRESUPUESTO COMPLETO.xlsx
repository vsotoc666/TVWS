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erimient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<sst xmlns="http://schemas.openxmlformats.org/spreadsheetml/2006/main" count="57" uniqueCount="52">
  <si>
    <t xml:space="preserve">N°</t>
  </si>
  <si>
    <t xml:space="preserve">DENOMINACIÓN</t>
  </si>
  <si>
    <t xml:space="preserve">SUSTENTO DEL BIEN DE ACUERDO A LOS OBJETIVOS
DEL PROYECTO</t>
  </si>
  <si>
    <t xml:space="preserve">CANT.</t>
  </si>
  <si>
    <t xml:space="preserve">PRECIO
UNIT.</t>
  </si>
  <si>
    <t xml:space="preserve">MONTO EN US$</t>
  </si>
  <si>
    <t xml:space="preserve">MONTO EN
SOLES</t>
  </si>
  <si>
    <t xml:space="preserve">MODELO</t>
  </si>
  <si>
    <t xml:space="preserve">REQUERIMIENTO CON INVOICE</t>
  </si>
  <si>
    <t xml:space="preserve">LICENCIA DE SOFTWARE DE INTELIGENCIA ARTIFICIAL</t>
  </si>
  <si>
    <t xml:space="preserve">Apoyo en la busqueda de informacion y asistente de programacion para la creacion de un codigo limpio</t>
  </si>
  <si>
    <t xml:space="preserve">CLAUDE PRO</t>
  </si>
  <si>
    <t xml:space="preserve">JUEGO DE ATENUADORES FIJOS 2 W CON CONECTOR SMA X 6</t>
  </si>
  <si>
    <t xml:space="preserve">Permite controlar y ajustar los niveles de potencia de las señales de radiofrecuencia durante las pruebas experimentales, evitando la saturación de los equipos SDR y garantizando mediciones confiables para la validación del sistema de radio cognitiva.</t>
  </si>
  <si>
    <t xml:space="preserve">SMA Attenuator Kit - 1dB to 42dB of Attenuation in 1dB Increments. Pack of 6. 2W maximum power</t>
  </si>
  <si>
    <t xml:space="preserve">MODULO DE RADIO DEFINIDO POR SOFTWARE (SDR)</t>
  </si>
  <si>
    <t xml:space="preserve">Constituye el componente principal para la implementación del prototipo de radio cognitiva, permitiendo la captura, procesamiento y transmisión de señales de radiofrecuencia necesarias para la detección y aprovechamiento dinámico de espacios en blanco de televisión (TV White Spaces).</t>
  </si>
  <si>
    <t xml:space="preserve">NOELEC NESDR SMART V5</t>
  </si>
  <si>
    <t xml:space="preserve">AMPLIFICADOR DE RUIDO BAJO 50 MHz - 3 GHz ZX60-P33 ULN+</t>
  </si>
  <si>
    <t xml:space="preserve">Mejora la sensibilidad de recepción del sistema al amplificar señales débiles con mínima degradación, facilitando la detección precisa de oportunidades espectrales y aumentando la confiabilidad de los algoritmos de inteligencia artificial aplicados al monitoreo del espectro.</t>
  </si>
  <si>
    <t xml:space="preserve">Nooelec LaNA - Wideband Ultra Low-Noise Amplifier (LNA) Module w/ Enclosure &amp; Accessories. 20MHz-4GHz Capability w/ Bias-Tee, USB &amp; DC Power Options</t>
  </si>
  <si>
    <t xml:space="preserve">CABLE COAXIAL RG-316 X 50 cm</t>
  </si>
  <si>
    <t xml:space="preserve">Permite la interconexión de los componentes de radiofrecuencia del prototipo, garantizando una transmisión adecuada de señales entre módulos SDR, amplificadores y demás dispositivos utilizados en las pruebas experimentales.</t>
  </si>
  <si>
    <t xml:space="preserve">Facilita conexiones adicionales dentro de la arquitectura SDR propuesta, asegurando flexibilidad en la configuración experimental y reduciendo pérdidas de señal durante las evaluaciones del sistema.</t>
  </si>
  <si>
    <t xml:space="preserve">CABLE COAXIAL LMR-400</t>
  </si>
  <si>
    <t xml:space="preserve">Reduce significativamente las pérdidas de señal en enlaces de mayor longitud, permitiendo realizar pruebas de transmisión y recepción con mayor eficiencia y precisión en escenarios representativos de conectividad rural.</t>
  </si>
  <si>
    <t xml:space="preserve">Permite la integración de subsistemas de radiofrecuencia dentro del prototipo, asegurando la correcta transferencia de señales para el desarrollo y validación de las funcionalidades de radio cognitiva.</t>
  </si>
  <si>
    <t xml:space="preserve">Proporciona una conexión de baja atenuación entre equipos y antenas, contribuyendo a la evaluación del desempeño del sistema en condiciones cercanas a una implementación real de conectividad mediante TV White Spaces.</t>
  </si>
  <si>
    <t xml:space="preserve">ANTENA DIRECCIONAL</t>
  </si>
  <si>
    <t xml:space="preserve">Antena Direccional de alta ganancia de banda ultra ancha
Tipo: log-periódica de dipolos (LPDA)
Rango de frecuencia: 400 MHz – 2700 MHz mínimo
Ganancia: ≥ 10 dBi en la banda 470–698 MHz
VSWR: ≤ 2:1 en todo el rango
Impedancia: 50 Ω
Polarización: lineal, orientable horizontal o vertical
Conector: N-hembra con balun integrado
Longitud del boom: ≤ 100 cm
Elementos: aleación de aluminio 6061-T6
Potencia máxima: ≥ 100 W
Abrazadera para mástil 25–50 mm incluida</t>
  </si>
  <si>
    <t xml:space="preserve">https://checkout.square.site/merchant/MLECAT47J4KR9/checkout/XOS3LLYMV6OH4W6WIEORZPVJ?src=embed</t>
  </si>
  <si>
    <t xml:space="preserve">Transceptor de radio definido por software Full-Duplex de grado industrial con matriz de puertas programables (FPGA) integrada.Rango de frecuencia nominal: 47 MHz - 6 GHz sin modificación de firmware Tasa de muestreo: &gt;= 61 MSPS TX y RX simultáneos sin pérdida de muestras Resolución ADC/DAC: 12 bits (rango dinámico &gt;= 72 dB) Ancho de banda analógico configurable: hasta &gt;= 56 MHz VCTCXO &lt;= +-1 ppm calibrado + entrada SMA para referencia externa de 10 MHz FPGA integrada &gt;= 16 000 elementos lógicos, firmware de código abierto Driver GNU Radio 3.10 / Ubuntu 22.04 LTS activo &gt;= 2 años + compatible SoapySDR Alimentación: 5 V por USB, consumo máximo 2.5 A, sin fuente externa</t>
  </si>
  <si>
    <t xml:space="preserve">BLADE RF MICRO X A4 2.0</t>
  </si>
  <si>
    <t xml:space="preserve">ANTENA OMNIDIRECCIONAL BASE</t>
  </si>
  <si>
    <t xml:space="preserve">Antena omnidireccional de banda ultra ancha. Tipo: discone o antena de banda ultra ancha omnidireccional. Rango de frecuencia de recepción: 25 MHz – 1,300 MHz mínimo. Ganancia: 0 dBi ± 2 dBi (omnidireccional por diseño). VSWR: ≤ 2.5:1 en todo el rango. Polarización: vertical. Conector: SO-239 (UHF hembra) o N-hembra, 50 Ω. Altura total: ≤ 100 cm. Material: aluminio con hardware de acero inoxidable. Montaje: abrazadera para mástil incluida</t>
  </si>
  <si>
    <t xml:space="preserve">https://www.amazon.com/-/es/Tram-Esc%C3%A1ner-1411-25MHz-1-Transmisi%C3%B3n/dp/B00QVNI1V0</t>
  </si>
  <si>
    <t xml:space="preserve">Gabinete de protección para montaje en exteriores (Caja estanca) para el resguardo de módulos electrónicos, amplificadores RF y SDR.</t>
  </si>
  <si>
    <t xml:space="preserve">Grado de protección: IP65 mínimo según IEC 60529 Material: ABS o poliéster reforzado con fibra de vidrio, resistente a UV Dimensiones internas mínimas: 300 × 250 × 150 mm Placa de montaje interior metálica incluida Cierre: bisagras con pestillo y llave Orificios ciegos para prensaestopas: ≥ 4, compatibles con cable glands M16 a M32 Temperatura de operación: −40 °C a +70 °C Resistencia al impacto: IK08 mínimo Color: gris claro (menor absorción de calor solar)</t>
  </si>
  <si>
    <t xml:space="preserve">COMPUTADORA</t>
  </si>
  <si>
    <t xml:space="preserve">Procesador: 10 a 20 núcleos, o equivalente o superior.  Frecuencia de procesador: Frecuencia base de 2.0 a 3.3 GHZ, frecuencia turbo 4.0 a 4.9 GHz  Memoria RAM: 32 GB DDR5 o equivalente o superior  Almacenamiento: 1 TB SSD o equivalente o superior.  Video: Integrado o superior.  Puertos:  (2) Puerto USB 3.0 - (1) Puerto USB Tipo C  (1) Line in (1) Mic in - Parlante Incorporado con Audio HD  (2) Puerto USB 3.0 - (2) Puerto USB 2.0  (1) Puerto RJ-45   Puertos de Video:   (1) DisplayPort - (1) HDMI  (3) Conectores de Audio Jacks  (1) PCI-Express 5.0 (1) PCI-Express 4.0  (2) Puerto M. 2  Ranura de expansión:  Conectividad: LAN con velocidad de 10/100/1000/2500 Mbs  Fuente de poder: 300 a 500 W, certificación 80 Plus Bronze o equivalente o superior.  Formato: Forma: Small form Factor o Mid Tower o Full Tower  Incluir: teclado USB / Mouse óptico USB.  </t>
  </si>
  <si>
    <t xml:space="preserve">AMPLIFICADOR DE SEÑAL</t>
  </si>
  <si>
    <t xml:space="preserve">https://es.aliexpress.com/item/1005005460465319.html?spm=a2g0o.productlist.main.9.5ad27b70EYuoHN&amp;algo_pvid=d6c0f66e-3f5b-4054-89c1-fb56a711f427&amp;algo_exp_id=d6c0f66e-3f5b-4054-89c1-fb56a711f427-8&amp;pdp_ext_f=%7B%22order%22%3A%228%22%2C%22eval%22%3A%221%22%2C%22fromPage%22%3A%22search%22%7D&amp;pdp_npi=6%40dis%21PEN%2186.09%2160.22%21%21%21167.23%21116.98%21%402101e7a317873499787868584e0ccf%2112000033172099367%21sea%21PE%216164753650%21ABX%211%210%21n_tag%3A-29910%3Bd%3A4dfaf16f%3Bm03_new_user%3A-29895%3BpisId%3A5000000215142753&amp;curPageLogUid=11sgtNBanU4Q&amp;utparam-url=scene%3Asearch%7Cquery_from%3A%7Cx_object_id%3A1005005460465319%7C_p_origin_prod%3A&amp;_gl=1*1tedfqv*_gcl_aw*R0NMLjE3ODE1Mzc1NDguQ2p3S0NBand4YjdSQmhBNUVpd0FRLUFBZE1OU2VxSVhvcVFIV0pxQi1vMXhKUzVnakRGTkw4TlVwM241QmhZOWdXc3RZbnZKaDlBWkd4b0NaOGtRQXZEX0J3RQ..*_gcl_au*MTM0Njg3ODUwNC4xNzg3MDI2NjEw*_ga*OTAxODA4NjU2LjE3Nzg4OTUyNTA.*_ga_VED1YSGNC7*czE3ODczNDI4OTckbzE1JGcxJHQxNzg3MzUwMTExJGo2MCRsMCRoMA..#nav-specification</t>
  </si>
  <si>
    <t xml:space="preserve">Gastos de nuestra suvbencion</t>
  </si>
  <si>
    <t xml:space="preserve">CONSULTORIA</t>
  </si>
  <si>
    <t xml:space="preserve">CHRIS</t>
  </si>
  <si>
    <t xml:space="preserve">MÁSTILES</t>
  </si>
  <si>
    <t xml:space="preserve">Mastiles de 3m para antenas del enlace troncal</t>
  </si>
  <si>
    <t xml:space="preserve">TRAGEDIA</t>
  </si>
  <si>
    <t xml:space="preserve">El estatuto nos jugó en contra</t>
  </si>
  <si>
    <t xml:space="preserve">LNA</t>
  </si>
  <si>
    <t xml:space="preserve">Para la antena de sensado, el modelo es el mismo que los otros LNA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</si>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</sst>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&quot;S/ &quot;#,##0.00"/>
    <numFmt numFmtId="167" formatCode="_-&quot;S/ &quot;* #,##0.00_-;&quot;-S/ &quot;* #,##0.00_-;_-&quot;S/ &quot;* \-??_-;_-@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9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heckout.square.site/merchant/MLECAT47J4KR9/checkout/XOS3LLYMV6OH4W6WIEORZPVJ?src=embed" TargetMode="External"/><Relationship Id="rId2" Type="http://schemas.openxmlformats.org/officeDocument/2006/relationships/hyperlink" Target="https://www.amazon.com/-/es/Tram-Esc&#225;ner-1411-25MHz-1-Transmisi&#243;n/dp/B00QVNI1V0" TargetMode="External"/><Relationship Id="rId3" Type="http://schemas.openxmlformats.org/officeDocument/2006/relationships/hyperlink" Target="https://es.aliexpress.com/item/1005005460465319.html?spm=a2g0o.productlist.main.9.5ad27b70EYuoHN&amp;algo_pvid=d6c0f66e-3f5b-4054-89c1-fb56a711f427&amp;algo_exp_id=d6c0f66e-3f5b-4054-89c1-fb56a711f427-8&amp;pdp_ext_f=%7B%22order%22%3A%228%22%2C%22eval%22%3A%221%22%2C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D20" activeCellId="0" sqref="D20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60.43"/>
    <col collapsed="false" customWidth="true" hidden="false" outlineLevel="0" max="4" min="4" style="0" width="50"/>
    <col collapsed="false" customWidth="true" hidden="false" outlineLevel="0" max="5" min="5" style="0" width="24.8"/>
    <col collapsed="false" customWidth="true" hidden="false" outlineLevel="0" max="6" min="6" style="0" width="9"/>
    <col collapsed="false" customWidth="true" hidden="false" outlineLevel="0" max="8" min="7" style="0" width="13"/>
    <col collapsed="false" customWidth="true" hidden="false" outlineLevel="0" max="9" min="9" style="0" width="153.86"/>
    <col collapsed="false" customWidth="true" hidden="false" outlineLevel="0" max="10" min="10" style="0" width="11.86"/>
    <col collapsed="false" customWidth="true" hidden="false" outlineLevel="0" max="11" min="11" style="0" width="8.7"/>
    <col collapsed="false" customWidth="true" hidden="false" outlineLevel="0" max="12" min="12" style="0" width="16.57"/>
    <col collapsed="false" customWidth="true" hidden="false" outlineLevel="0" max="13" min="13" style="0" width="16"/>
    <col collapsed="false" customWidth="true" hidden="false" outlineLevel="0" max="14" min="14" style="0" width="29.14"/>
    <col collapsed="false" customWidth="true" hidden="false" outlineLevel="0" max="16" min="15" style="0" width="8.7"/>
    <col collapsed="false" customWidth="true" hidden="false" outlineLevel="0" max="17" min="17" style="0" width="11.29"/>
  </cols>
  <sheetData>
    <row r="1" customFormat="false" ht="39.75" hidden="false" customHeight="tru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customFormat="false" ht="15" hidden="false" customHeight="true" outlineLevel="0" collapsed="false">
      <c r="A2" s="2" t="s">
        <v>8</v>
      </c>
      <c r="B2" s="3" t="n">
        <v>1</v>
      </c>
      <c r="C2" s="4" t="s">
        <v>9</v>
      </c>
      <c r="D2" s="5" t="s">
        <v>10</v>
      </c>
      <c r="E2" s="6" t="n">
        <v>1</v>
      </c>
      <c r="F2" s="7" t="n">
        <v>236</v>
      </c>
      <c r="G2" s="7" t="n">
        <f aca="false">E2*F2</f>
        <v>236</v>
      </c>
      <c r="H2" s="8" t="n">
        <v>814.2</v>
      </c>
      <c r="I2" s="9" t="s">
        <v>11</v>
      </c>
    </row>
    <row r="3" customFormat="false" ht="15" hidden="false" customHeight="false" outlineLevel="0" collapsed="false">
      <c r="A3" s="2"/>
      <c r="B3" s="3" t="n">
        <v>2</v>
      </c>
      <c r="C3" s="4" t="s">
        <v>12</v>
      </c>
      <c r="D3" s="5" t="s">
        <v>13</v>
      </c>
      <c r="E3" s="6" t="n">
        <v>1</v>
      </c>
      <c r="F3" s="7" t="n">
        <v>116</v>
      </c>
      <c r="G3" s="7" t="n">
        <f aca="false">E3*F3</f>
        <v>116</v>
      </c>
      <c r="H3" s="8" t="n">
        <v>400.2</v>
      </c>
      <c r="I3" s="9" t="s">
        <v>14</v>
      </c>
    </row>
    <row r="4" customFormat="false" ht="15" hidden="false" customHeight="false" outlineLevel="0" collapsed="false">
      <c r="A4" s="2"/>
      <c r="B4" s="3" t="n">
        <v>3</v>
      </c>
      <c r="C4" s="4" t="s">
        <v>15</v>
      </c>
      <c r="D4" s="5" t="s">
        <v>16</v>
      </c>
      <c r="E4" s="6" t="n">
        <v>1</v>
      </c>
      <c r="F4" s="7" t="n">
        <v>92.75</v>
      </c>
      <c r="G4" s="7" t="n">
        <f aca="false">E4*F4</f>
        <v>92.75</v>
      </c>
      <c r="H4" s="8" t="n">
        <v>319.98</v>
      </c>
      <c r="I4" s="9" t="s">
        <v>17</v>
      </c>
    </row>
    <row r="5" customFormat="false" ht="15" hidden="false" customHeight="false" outlineLevel="0" collapsed="false">
      <c r="A5" s="2"/>
      <c r="B5" s="3" t="n">
        <v>4</v>
      </c>
      <c r="C5" s="4" t="s">
        <v>18</v>
      </c>
      <c r="D5" s="5" t="s">
        <v>19</v>
      </c>
      <c r="E5" s="6" t="n">
        <v>2</v>
      </c>
      <c r="F5" s="7" t="n">
        <v>130.43</v>
      </c>
      <c r="G5" s="7" t="n">
        <f aca="false">E5*F5</f>
        <v>260.86</v>
      </c>
      <c r="H5" s="8" t="n">
        <v>900</v>
      </c>
      <c r="I5" s="9" t="s">
        <v>20</v>
      </c>
    </row>
    <row r="6" customFormat="false" ht="15" hidden="false" customHeight="false" outlineLevel="0" collapsed="false">
      <c r="A6" s="2"/>
      <c r="B6" s="3" t="n">
        <v>5</v>
      </c>
      <c r="C6" s="4" t="s">
        <v>21</v>
      </c>
      <c r="D6" s="5" t="s">
        <v>22</v>
      </c>
      <c r="E6" s="6" t="n">
        <v>2</v>
      </c>
      <c r="F6" s="7" t="n">
        <v>23.19</v>
      </c>
      <c r="G6" s="7" t="n">
        <f aca="false">E6*F6</f>
        <v>46.38</v>
      </c>
      <c r="H6" s="8" t="n">
        <v>160</v>
      </c>
      <c r="I6" s="9"/>
    </row>
    <row r="7" customFormat="false" ht="15" hidden="false" customHeight="false" outlineLevel="0" collapsed="false">
      <c r="A7" s="2"/>
      <c r="B7" s="3" t="n">
        <v>6</v>
      </c>
      <c r="C7" s="4" t="s">
        <v>21</v>
      </c>
      <c r="D7" s="5" t="s">
        <v>23</v>
      </c>
      <c r="E7" s="6" t="n">
        <v>1</v>
      </c>
      <c r="F7" s="7" t="n">
        <v>28.99</v>
      </c>
      <c r="G7" s="7" t="n">
        <f aca="false">E7*F7</f>
        <v>28.99</v>
      </c>
      <c r="H7" s="8" t="n">
        <v>100</v>
      </c>
      <c r="I7" s="9"/>
    </row>
    <row r="8" customFormat="false" ht="15" hidden="false" customHeight="false" outlineLevel="0" collapsed="false">
      <c r="A8" s="2"/>
      <c r="B8" s="3" t="n">
        <v>7</v>
      </c>
      <c r="C8" s="4" t="s">
        <v>24</v>
      </c>
      <c r="D8" s="5" t="s">
        <v>25</v>
      </c>
      <c r="E8" s="6" t="n">
        <v>5</v>
      </c>
      <c r="F8" s="7" t="n">
        <v>57.97</v>
      </c>
      <c r="G8" s="7" t="n">
        <f aca="false">E8*F8</f>
        <v>289.85</v>
      </c>
      <c r="H8" s="8" t="n">
        <v>1000</v>
      </c>
      <c r="I8" s="9"/>
    </row>
    <row r="9" customFormat="false" ht="54.75" hidden="false" customHeight="true" outlineLevel="0" collapsed="false">
      <c r="A9" s="2"/>
      <c r="B9" s="3" t="n">
        <v>8</v>
      </c>
      <c r="C9" s="4" t="s">
        <v>21</v>
      </c>
      <c r="D9" s="5" t="s">
        <v>26</v>
      </c>
      <c r="E9" s="6" t="n">
        <v>2</v>
      </c>
      <c r="F9" s="7" t="n">
        <v>26.09</v>
      </c>
      <c r="G9" s="7" t="n">
        <f aca="false">E9*F9</f>
        <v>52.18</v>
      </c>
      <c r="H9" s="8" t="n">
        <v>180</v>
      </c>
      <c r="I9" s="9"/>
    </row>
    <row r="10" customFormat="false" ht="15" hidden="false" customHeight="false" outlineLevel="0" collapsed="false">
      <c r="A10" s="2"/>
      <c r="B10" s="3" t="n">
        <v>9</v>
      </c>
      <c r="C10" s="4" t="s">
        <v>24</v>
      </c>
      <c r="D10" s="5" t="s">
        <v>27</v>
      </c>
      <c r="E10" s="6" t="n">
        <v>1</v>
      </c>
      <c r="F10" s="7" t="n">
        <v>28.99</v>
      </c>
      <c r="G10" s="7" t="n">
        <f aca="false">E10*F10</f>
        <v>28.99</v>
      </c>
      <c r="H10" s="8" t="n">
        <v>100</v>
      </c>
      <c r="I10" s="9"/>
    </row>
    <row r="11" customFormat="false" ht="15" hidden="false" customHeight="false" outlineLevel="0" collapsed="false">
      <c r="A11" s="2"/>
      <c r="B11" s="3" t="n">
        <v>10</v>
      </c>
      <c r="C11" s="4" t="s">
        <v>28</v>
      </c>
      <c r="D11" s="5" t="s">
        <v>29</v>
      </c>
      <c r="E11" s="6" t="n">
        <v>4</v>
      </c>
      <c r="F11" s="5"/>
      <c r="G11" s="7" t="n">
        <f aca="false">E11*F11</f>
        <v>0</v>
      </c>
      <c r="H11" s="10" t="n">
        <v>3000</v>
      </c>
      <c r="I11" s="11" t="s">
        <v>30</v>
      </c>
    </row>
    <row r="12" customFormat="false" ht="15" hidden="false" customHeight="false" outlineLevel="0" collapsed="false">
      <c r="A12" s="2"/>
      <c r="B12" s="3" t="n">
        <v>11</v>
      </c>
      <c r="C12" s="4" t="s">
        <v>15</v>
      </c>
      <c r="D12" s="5" t="s">
        <v>31</v>
      </c>
      <c r="E12" s="6" t="n">
        <v>2</v>
      </c>
      <c r="F12" s="5"/>
      <c r="G12" s="7" t="n">
        <f aca="false">E12*F12</f>
        <v>0</v>
      </c>
      <c r="H12" s="10" t="n">
        <v>8980</v>
      </c>
      <c r="I12" s="9" t="s">
        <v>32</v>
      </c>
    </row>
    <row r="13" customFormat="false" ht="15" hidden="false" customHeight="false" outlineLevel="0" collapsed="false">
      <c r="A13" s="2"/>
      <c r="B13" s="3" t="n">
        <v>12</v>
      </c>
      <c r="C13" s="4" t="s">
        <v>33</v>
      </c>
      <c r="D13" s="5" t="s">
        <v>34</v>
      </c>
      <c r="E13" s="6" t="n">
        <v>1</v>
      </c>
      <c r="F13" s="4"/>
      <c r="G13" s="7" t="n">
        <f aca="false">E13*F13</f>
        <v>0</v>
      </c>
      <c r="H13" s="10" t="n">
        <v>640</v>
      </c>
      <c r="I13" s="11" t="s">
        <v>35</v>
      </c>
    </row>
    <row r="14" customFormat="false" ht="115.5" hidden="false" customHeight="true" outlineLevel="0" collapsed="false">
      <c r="A14" s="2"/>
      <c r="B14" s="3" t="n">
        <v>13</v>
      </c>
      <c r="C14" s="4" t="s">
        <v>36</v>
      </c>
      <c r="D14" s="5" t="s">
        <v>37</v>
      </c>
      <c r="E14" s="6" t="n">
        <v>2</v>
      </c>
      <c r="F14" s="4"/>
      <c r="G14" s="7" t="n">
        <f aca="false">E14*F14</f>
        <v>0</v>
      </c>
      <c r="H14" s="10" t="n">
        <v>700</v>
      </c>
      <c r="I14" s="9"/>
    </row>
    <row r="15" customFormat="false" ht="204" hidden="false" customHeight="true" outlineLevel="0" collapsed="false">
      <c r="A15" s="2"/>
      <c r="B15" s="3" t="n">
        <v>14</v>
      </c>
      <c r="C15" s="4" t="s">
        <v>38</v>
      </c>
      <c r="D15" s="5" t="s">
        <v>39</v>
      </c>
      <c r="E15" s="4" t="n">
        <v>1</v>
      </c>
      <c r="F15" s="4"/>
      <c r="G15" s="7" t="n">
        <f aca="false">E15*F15</f>
        <v>0</v>
      </c>
      <c r="H15" s="8" t="n">
        <v>5000</v>
      </c>
      <c r="I15" s="9" t="s">
        <v>39</v>
      </c>
    </row>
    <row r="16" customFormat="false" ht="15" hidden="false" customHeight="false" outlineLevel="0" collapsed="false">
      <c r="A16" s="2"/>
      <c r="B16" s="3" t="n">
        <v>15</v>
      </c>
      <c r="C16" s="4" t="s">
        <v>40</v>
      </c>
      <c r="D16" s="5"/>
      <c r="E16" s="6" t="n">
        <v>2</v>
      </c>
      <c r="F16" s="5"/>
      <c r="G16" s="7" t="n">
        <f aca="false">E16*F16</f>
        <v>0</v>
      </c>
      <c r="H16" s="10" t="n">
        <v>330</v>
      </c>
      <c r="I16" s="11" t="s">
        <v>41</v>
      </c>
    </row>
    <row r="17" customFormat="false" ht="15.75" hidden="false" customHeight="true" outlineLevel="0" collapsed="false">
      <c r="A17" s="12"/>
      <c r="B17" s="12"/>
      <c r="C17" s="12"/>
      <c r="D17" s="12"/>
      <c r="E17" s="12"/>
      <c r="F17" s="12"/>
      <c r="G17" s="13"/>
      <c r="H17" s="14" t="n">
        <f aca="false">SUM(H2:H16)</f>
        <v>22624.38</v>
      </c>
      <c r="I17" s="9"/>
    </row>
    <row r="18" customFormat="false" ht="15.75" hidden="false" customHeight="true" outlineLevel="0" collapsed="false">
      <c r="A18" s="15"/>
    </row>
    <row r="19" customFormat="false" ht="15.75" hidden="false" customHeight="true" outlineLevel="0" collapsed="false">
      <c r="A19" s="15"/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>
      <c r="C30" s="16" t="s">
        <v>42</v>
      </c>
      <c r="D30" s="16"/>
      <c r="E30" s="16"/>
      <c r="F30" s="16"/>
      <c r="G30" s="16"/>
      <c r="H30" s="16"/>
    </row>
    <row r="31" customFormat="false" ht="15.75" hidden="false" customHeight="true" outlineLevel="0" collapsed="false">
      <c r="C31" s="17" t="n">
        <v>1</v>
      </c>
      <c r="D31" s="1" t="s">
        <v>43</v>
      </c>
      <c r="E31" s="18" t="s">
        <v>44</v>
      </c>
      <c r="F31" s="1" t="n">
        <v>1</v>
      </c>
      <c r="G31" s="19"/>
      <c r="H31" s="20" t="n">
        <v>1200</v>
      </c>
    </row>
    <row r="32" customFormat="false" ht="15.75" hidden="false" customHeight="true" outlineLevel="0" collapsed="false">
      <c r="C32" s="17" t="n">
        <v>2</v>
      </c>
      <c r="D32" s="1" t="s">
        <v>45</v>
      </c>
      <c r="E32" s="18" t="s">
        <v>46</v>
      </c>
      <c r="F32" s="1" t="n">
        <v>2</v>
      </c>
      <c r="G32" s="19"/>
      <c r="H32" s="20" t="n">
        <v>1600</v>
      </c>
    </row>
    <row r="33" customFormat="false" ht="15.75" hidden="false" customHeight="true" outlineLevel="0" collapsed="false">
      <c r="C33" s="17" t="n">
        <v>3</v>
      </c>
      <c r="D33" s="1" t="s">
        <v>47</v>
      </c>
      <c r="E33" s="18" t="s">
        <v>48</v>
      </c>
      <c r="F33" s="1" t="n">
        <v>1</v>
      </c>
      <c r="G33" s="19"/>
      <c r="H33" s="20" t="n">
        <v>1600</v>
      </c>
    </row>
    <row r="34" customFormat="false" ht="15.75" hidden="false" customHeight="true" outlineLevel="0" collapsed="false">
      <c r="C34" s="17" t="n">
        <v>4</v>
      </c>
      <c r="D34" s="1" t="s">
        <v>49</v>
      </c>
      <c r="E34" s="18" t="s">
        <v>50</v>
      </c>
      <c r="F34" s="1" t="n">
        <v>1</v>
      </c>
      <c r="G34" s="19"/>
      <c r="H34" s="20" t="n">
        <v>200</v>
      </c>
    </row>
    <row r="35" customFormat="false" ht="15.75" hidden="false" customHeight="true" outlineLevel="0" collapsed="false">
      <c r="C35" s="21" t="s">
        <v>51</v>
      </c>
      <c r="H35" s="22" t="n">
        <f aca="false">SUM(H31:H34)</f>
        <v>4600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mergeCells count="3">
    <mergeCell ref="A2:A16"/>
    <mergeCell ref="A17:F17"/>
    <mergeCell ref="C30:H30"/>
  </mergeCells>
  <hyperlinks>
    <hyperlink ref="I11" r:id="rId1" display="https://checkout.square.site/merchant/MLECAT47J4KR9/checkout/XOS3LLYMV6OH4W6WIEORZPVJ?src=embed"/>
    <hyperlink ref="I13" r:id="rId2" display="https://www.amazon.com/-/es/Tram-Esc%C3%A1ner-1411-25MHz-1-Transmisi%C3%B3n/dp/B00QVNI1V0"/>
    <hyperlink ref="I16" r:id="rId3" location="nav-specification" display="https://es.aliexpress.com/item/1005005460465319.html?spm=a2g0o.productlist.main.9.5ad27b70EYuoHN&amp;algo_pvid=d6c0f66e-3f5b-4054-89c1-fb56a711f427&amp;algo_exp_id=d6c0f66e-3f5b-4054-89c1-fb56a711f427-8&amp;pdp_ext_f=%7B%22order%22%3A%228%22%2C%22eval%22%3A%221%22%2C%22fromPage%22%3A%22search%22%7D&amp;pdp_npi=6%40dis%21PEN%2186.09%2160.22%21%21%21167.23%21116.98%21%402101e7a317873499787868584e0ccf%2112000033172099367%21sea%21PE%216164753650%21ABX%211%210%21n_tag%3A-29910%3Bd%3A4dfaf16f%3Bm03_new_user%3A-29895%3BpisId%3A5000000215142753&amp;curPageLogUid=11sgtNBanU4Q&amp;utparam-url=scene%3Asearch%7Cquery_from%3A%7Cx_object_id%3A1005005460465319%7C_p_origin_prod%3A&amp;_gl=1*1tedfqv*_gcl_aw*R0NMLjE3ODE1Mzc1NDguQ2p3S0NBand4YjdSQmhBNUVpd0FRLUFBZE1OU2VxSVhvcVFIV0pxQi1vMXhKUzVnakRGTkw4TlVwM241QmhZOWdXc3RZbnZKaDlBWkd4b0NaOGtRQXZEX0J3RQ..*_gcl_au*MTM0Njg3ODUwNC4xNzg3MDI2NjEw*_ga*OTAxODA4NjU2LjE3Nzg4OTUyNTA.*_ga_VED1YSGNC7*czE3ODczNDI4OTckbzE1JGcxJHQxNzg3MzUwMTExJGo2MCRsMCRoMA..#nav-specificat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2026-08-28T17:43:03Z</dcterms:modified>
  <cp:revision>1</cp:revision>
  <dc:subject/>
  <dc:title/>
</cp:coreProperties>
</file>