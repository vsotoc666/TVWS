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en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4" max="4"/>
  </cols>
  <sheetData>
    <row r="1">
      <c r="A1" t="inlineStr">
        <is>
          <t>Parametro</t>
        </is>
      </c>
      <c r="B1" t="inlineStr">
        <is>
          <t>Downlink</t>
        </is>
      </c>
      <c r="C1" t="inlineStr">
        <is>
          <t>Uplink</t>
        </is>
      </c>
      <c r="D1" t="inlineStr">
        <is>
          <t>Como se calcula</t>
        </is>
      </c>
    </row>
    <row r="2">
      <c r="A2" t="inlineStr">
        <is>
          <t>EIRP TX (dBm)</t>
        </is>
      </c>
      <c r="B2" t="n">
        <v>41.7</v>
      </c>
      <c r="C2" t="n">
        <v>16</v>
      </c>
      <c r="D2" t="inlineStr">
        <is>
          <t>Dato de hardware: potencia PA/SDR + ganancia antena - perdidas de cable/GDT (UL corregido: bladeRF Cliente TX max real +6dBm, no +10dBm)</t>
        </is>
      </c>
    </row>
    <row r="3">
      <c r="A3" t="inlineStr">
        <is>
          <t>FSPL + NLOS 15km@600MHz (dB)</t>
        </is>
      </c>
      <c r="B3" t="n">
        <v>-126</v>
      </c>
      <c r="C3" t="n">
        <v>-126</v>
      </c>
      <c r="D3" t="inlineStr">
        <is>
          <t>Dato del link budget (formula de espacio libre + perdida adicional NLOS)</t>
        </is>
      </c>
    </row>
    <row r="4">
      <c r="A4" t="inlineStr">
        <is>
          <t>Ganancia antena RX (dBi)</t>
        </is>
      </c>
      <c r="B4" t="n">
        <v>10</v>
      </c>
      <c r="C4" t="n">
        <v>10</v>
      </c>
      <c r="D4" t="inlineStr">
        <is>
          <t>Dato de hardware (ganancia de la LPDA receptora)</t>
        </is>
      </c>
    </row>
    <row r="5">
      <c r="A5" t="inlineStr">
        <is>
          <t>Potencia recibida estimada (dBm)</t>
        </is>
      </c>
      <c r="B5">
        <f>B2+B3+B4</f>
        <v/>
      </c>
      <c r="C5">
        <f>C2+C3+C4</f>
        <v/>
      </c>
      <c r="D5">
        <f> EIRP TX + FSPL/NLOS + Ganancia antena RX</f>
        <v/>
      </c>
    </row>
    <row r="6">
      <c r="A6" t="inlineStr">
        <is>
          <t>NF receptor (dB)</t>
        </is>
      </c>
      <c r="B6" t="n">
        <v>1</v>
      </c>
      <c r="C6" t="n">
        <v>1.04</v>
      </c>
      <c r="D6" t="inlineStr">
        <is>
          <t>Dato de hardware (LNA + cadena RX)</t>
        </is>
      </c>
    </row>
    <row r="7">
      <c r="A7" t="inlineStr">
        <is>
          <t>Sensibilidad BPSK (dBm)</t>
        </is>
      </c>
      <c r="B7" t="n">
        <v>-100.7</v>
      </c>
      <c r="C7" t="n">
        <v>-100.7</v>
      </c>
      <c r="D7" t="inlineStr">
        <is>
          <t>Dato: piso de ruido termico + NF + SNR minimo requerido por BPSK</t>
        </is>
      </c>
    </row>
    <row r="8">
      <c r="A8" t="inlineStr">
        <is>
          <t>Margen BPSK (dB)</t>
        </is>
      </c>
      <c r="B8">
        <f>B5-B7</f>
        <v/>
      </c>
      <c r="C8">
        <f>C5-C7</f>
        <v/>
      </c>
      <c r="D8">
        <f> Potencia recibida - Sensibilidad BPSK</f>
        <v/>
      </c>
    </row>
    <row r="9">
      <c r="A9" t="inlineStr">
        <is>
          <t>Sensibilidad QPSK (dBm)</t>
        </is>
      </c>
      <c r="B9" t="n">
        <v>-97.7</v>
      </c>
      <c r="C9" t="n">
        <v>-97.7</v>
      </c>
      <c r="D9" t="inlineStr">
        <is>
          <t>Igual que sensibilidad BPSK pero con el SNR minimo que exige QPSK (~3 dB mas)</t>
        </is>
      </c>
    </row>
    <row r="10">
      <c r="A10" t="inlineStr">
        <is>
          <t>Margen QPSK (dB)</t>
        </is>
      </c>
      <c r="B10">
        <f>B5-B9</f>
        <v/>
      </c>
      <c r="C10">
        <f>C5-C9</f>
        <v/>
      </c>
      <c r="D10">
        <f> Potencia recibida - Sensibilidad QPSK</f>
        <v/>
      </c>
    </row>
    <row r="12">
      <c r="A12" t="inlineStr">
        <is>
          <t>Calculo del aislamiento antena-antena (espacio libre)</t>
        </is>
      </c>
      <c r="B12" t="inlineStr">
        <is>
          <t>Valor</t>
        </is>
      </c>
      <c r="C12" t="inlineStr"/>
      <c r="D12" t="inlineStr">
        <is>
          <t>Como se calcula</t>
        </is>
      </c>
    </row>
    <row r="13">
      <c r="A13" t="inlineStr">
        <is>
          <t>Frecuencia (MHz)</t>
        </is>
      </c>
      <c r="B13" t="n">
        <v>600</v>
      </c>
      <c r="C13" t="inlineStr"/>
      <c r="D13" t="inlineStr">
        <is>
          <t>Dato: frecuencia de referencia del link budget</t>
        </is>
      </c>
    </row>
    <row r="14">
      <c r="A14" t="inlineStr">
        <is>
          <t>Distancia entre LPDA TX y RX en el mastil (m)</t>
        </is>
      </c>
      <c r="B14" t="n">
        <v>1.5</v>
      </c>
      <c r="C14" t="inlineStr"/>
      <c r="D14" t="inlineStr">
        <is>
          <t>Dato: separacion fisica asumida entre las 2 antenas del mismo nodo</t>
        </is>
      </c>
    </row>
    <row r="15">
      <c r="A15" t="inlineStr">
        <is>
          <t>Longitud de onda lambda (m)</t>
        </is>
      </c>
      <c r="B15">
        <f>300/B13</f>
        <v/>
      </c>
      <c r="C15" t="inlineStr"/>
      <c r="D15">
        <f> 300 / Frecuencia(MHz)</f>
        <v/>
      </c>
    </row>
    <row r="16">
      <c r="A16" t="inlineStr">
        <is>
          <t>Aislamiento espacio libre (dB)</t>
        </is>
      </c>
      <c r="B16">
        <f>20*LOG10(4*PI()*B14/B15)</f>
        <v/>
      </c>
      <c r="C16" t="inlineStr"/>
      <c r="D16">
        <f> 20*LOG10(4*PI()*distancia/lambda)  [formula de Friis entre 2 antenas]</f>
        <v/>
      </c>
    </row>
    <row r="18">
      <c r="A18" t="inlineStr">
        <is>
          <t>Autointerferencia sin filtro</t>
        </is>
      </c>
      <c r="B18" t="inlineStr">
        <is>
          <t>Gateway</t>
        </is>
      </c>
      <c r="C18" t="inlineStr">
        <is>
          <t>Cliente</t>
        </is>
      </c>
      <c r="D18" t="inlineStr">
        <is>
          <t>Como se calcula</t>
        </is>
      </c>
    </row>
    <row r="19">
      <c r="A19" t="inlineStr">
        <is>
          <t>Potencia TX conducida en antena (dBm)</t>
        </is>
      </c>
      <c r="B19" t="n">
        <v>32</v>
      </c>
      <c r="C19" t="n">
        <v>6</v>
      </c>
      <c r="D19" t="inlineStr">
        <is>
          <t>Dato de hardware: salida del PA/SDR en el puerto de la antena TX propia (Cliente corregido: bladeRF sin PA, TX max real +6dBm)</t>
        </is>
      </c>
    </row>
    <row r="20">
      <c r="A20" t="inlineStr">
        <is>
          <t>Aislamiento por separacion de antena (dB)</t>
        </is>
      </c>
      <c r="B20">
        <f>B16</f>
        <v/>
      </c>
      <c r="C20">
        <f>B16</f>
        <v/>
      </c>
      <c r="D20">
        <f> Aislamiento espacio libre calculado arriba (fila 16); mismo valor para ambos nodos (misma distancia/frecuencia asumida)</f>
        <v/>
      </c>
    </row>
    <row r="21">
      <c r="A21" t="inlineStr">
        <is>
          <t>Autointerferencia estimada en RX propio (dBm)</t>
        </is>
      </c>
      <c r="B21">
        <f>B19-B20</f>
        <v/>
      </c>
      <c r="C21">
        <f>C19-C20</f>
        <v/>
      </c>
      <c r="D21">
        <f> Potencia TX conducida - Aislamiento por separacion de antena (la senal de tu propio TX que le llega a tu propio RX)</f>
        <v/>
      </c>
    </row>
    <row r="22">
      <c r="A22" t="inlineStr">
        <is>
          <t>Senal deseada en RX propio (dBm)</t>
        </is>
      </c>
      <c r="B22" t="n">
        <v>-100</v>
      </c>
      <c r="C22" t="n">
        <v>-77</v>
      </c>
      <c r="D22">
        <f> Potencia recibida estimada de la otra tabla (fila 5), la senal que si quieres recibir del otro nodo (UL corregido a -100dBm)</f>
        <v/>
      </c>
    </row>
    <row r="23">
      <c r="A23" t="inlineStr">
        <is>
          <t>Senal requerida (sensibilidad + margen SNR 10dB) (dBm)</t>
        </is>
      </c>
      <c r="B23" t="n">
        <v>-110.7</v>
      </c>
      <c r="C23" t="n">
        <v>-110.7</v>
      </c>
      <c r="D23">
        <f> Sensibilidad BPSK - 10 dB de margen de SNR de diseno (para decodificar con margen, no justo en el limite)</f>
        <v/>
      </c>
    </row>
    <row r="24">
      <c r="A24" t="inlineStr">
        <is>
          <t>Deficit de aislamiento (dB)</t>
        </is>
      </c>
      <c r="B24">
        <f>B21-B23</f>
        <v/>
      </c>
      <c r="C24">
        <f>C21-C23</f>
        <v/>
      </c>
      <c r="D24">
        <f> Autointerferencia estimada - Senal requerida (cuanto mas fuerte es tu propio TX que el minimo que tu RX necesita; eso es lo que falta rechazar)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2026-07-26T22:58:32Z</dcterms:created>
  <dcterms:modified xmlns:dcterms="http://purl.org/dc/terms/" xmlns:xsi="http://www.w3.org/2001/XMLSchema-instance" xsi:type="dcterms:W3CDTF">2026-07-26T22:58:32Z</dcterms:modified>
</cp:coreProperties>
</file>